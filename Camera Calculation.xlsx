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mith/Documents/PrecisionLanding/"/>
    </mc:Choice>
  </mc:AlternateContent>
  <xr:revisionPtr revIDLastSave="0" documentId="13_ncr:1_{96278E13-E5C9-8140-91BE-3DBDFF08ECAE}" xr6:coauthVersionLast="47" xr6:coauthVersionMax="47" xr10:uidLastSave="{00000000-0000-0000-0000-000000000000}"/>
  <bookViews>
    <workbookView xWindow="380" yWindow="620" windowWidth="28040" windowHeight="15980" xr2:uid="{BE3F58C9-572A-494C-9722-FBA07A7CC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 l="1"/>
  <c r="E5" i="1" s="1"/>
</calcChain>
</file>

<file path=xl/sharedStrings.xml><?xml version="1.0" encoding="utf-8"?>
<sst xmlns="http://schemas.openxmlformats.org/spreadsheetml/2006/main" count="31" uniqueCount="30">
  <si>
    <t>Marker Pixel Width =</t>
  </si>
  <si>
    <t xml:space="preserve">Resolution Pixel Width  = </t>
  </si>
  <si>
    <t>Distance [m] =</t>
  </si>
  <si>
    <t xml:space="preserve">Horizontal canvas width = </t>
  </si>
  <si>
    <t xml:space="preserve">Vertical canvas height = </t>
  </si>
  <si>
    <t xml:space="preserve">Vertical marker size = </t>
  </si>
  <si>
    <t xml:space="preserve">Resolution Pixel Height  = </t>
  </si>
  <si>
    <t xml:space="preserve">Horizontal AOV [°] = </t>
  </si>
  <si>
    <t xml:space="preserve">Horizontal marker size = </t>
  </si>
  <si>
    <t>Resolution:</t>
  </si>
  <si>
    <t>H FOV [°]:</t>
  </si>
  <si>
    <t>1296 (H) x 816 (V)</t>
  </si>
  <si>
    <t>Camera:</t>
  </si>
  <si>
    <t>LI-OV9281-MIPI-RS-85H</t>
  </si>
  <si>
    <t>640 (H) x 480 (V)</t>
  </si>
  <si>
    <t>LI-OV7251M-FF-105H</t>
  </si>
  <si>
    <t>1600 (H) x 1300 (V)</t>
  </si>
  <si>
    <t>LI-OV2311-MIPI-76H</t>
  </si>
  <si>
    <t>1280 x 800</t>
  </si>
  <si>
    <t>LI-OV9282-MPI-JSDIR</t>
  </si>
  <si>
    <t>1600(H)X1200(V)</t>
  </si>
  <si>
    <t>1280H x 720V</t>
  </si>
  <si>
    <t>https://www.alibaba.com/product-detail/OV9281-Global-Shutter-Camera-for-Raspberry_1600997382929.html?spm=a2700.galleryofferlist.normal_offer.d_title.233913a0nygkBo&amp;priceId=952eae8a635a49c7b7a8a99eb8f3f218</t>
  </si>
  <si>
    <t>requires an fpc cable (not included)</t>
  </si>
  <si>
    <t>Notes:</t>
  </si>
  <si>
    <t>y size [m]:</t>
  </si>
  <si>
    <t>x size [m]:</t>
  </si>
  <si>
    <t>1456 × 1088</t>
  </si>
  <si>
    <t>https://www.alibaba.com/product-detail/Raspberry-Pi-Original-Global-Shutter-Camera_1601587504821.html?spm=a2700.galleryofferlist.normal_offer.d_title.233913a0nygkBo&amp;selectedCarrierCode=SEMI_MANAGED_STANDARD%40%40STANDARD&amp;priceId=952eae8a635a49c7b7a8a99eb8f3f218</t>
  </si>
  <si>
    <t>calculation based on 6mm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</si>
</sst>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21A1D-AF40-EC47-BA28-2FB107DD0472}" name="Table1" displayName="Table1" ref="B8:G27" totalsRowShown="0">
  <autoFilter ref="B8:G27" xr:uid="{83C21A1D-AF40-EC47-BA28-2FB107DD0472}"/>
  <tableColumns count="6">
    <tableColumn id="5" xr3:uid="{B2CC1282-8F17-DB4A-97B6-9C94E1FFE7E0}" name="Camera:"/>
    <tableColumn id="1" xr3:uid="{7E929193-50D4-5049-B4FE-49B8071942F2}" name="Resolution:"/>
    <tableColumn id="2" xr3:uid="{4CE84775-1AFC-4949-8884-50D5C631BFDB}" name="H FOV [°]:"/>
    <tableColumn id="3" xr3:uid="{F97E40AF-84D7-C949-929B-A67848BCCF27}" name="x size [m]:"/>
    <tableColumn id="4" xr3:uid="{97D65124-F19E-DD43-9D23-F20EF2140DFC}" name="y size [m]:"/>
    <tableColumn id="6" xr3:uid="{58232DA1-07FE-1C40-91C0-D75ABA76818C}" name="Notes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alibaba.com/product-detail/Raspberry-Pi-Original-Global-Shutter-Camera_1601587504821.html?spm=a2700.galleryofferlist.normal_offer.d_title.233913a0nygkBo&amp;selectedCarrierCode=SEMI_MANAGED_STANDARD%40%40STANDARD&amp;priceId=952eae8a635a49c7b7a8a99eb8f3f218" TargetMode="External"/><Relationship Id="rId1" Type="http://schemas.openxmlformats.org/officeDocument/2006/relationships/hyperlink" Target="https://www.alibaba.com/product-detail/OV9281-Global-Shutter-Camera-for-Raspberry_1600997382929.html?spm=a2700.galleryofferlist.normal_offer.d_title.233913a0nygkBo&amp;priceId=952eae8a635a49c7b7a8a99eb8f3f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C6E6-78B1-0D4D-B3AB-3DEF8E257B36}">
  <dimension ref="B1:I16"/>
  <sheetViews>
    <sheetView tabSelected="1" workbookViewId="0">
      <selection activeCell="E15" sqref="E15"/>
    </sheetView>
  </sheetViews>
  <sheetFormatPr baseColWidth="10" defaultRowHeight="16" x14ac:dyDescent="0.2"/>
  <cols>
    <col min="2" max="2" width="24.6640625" customWidth="1"/>
    <col min="3" max="3" width="19" customWidth="1"/>
    <col min="4" max="4" width="20.1640625" customWidth="1"/>
    <col min="5" max="5" width="11" customWidth="1"/>
    <col min="6" max="6" width="12.5" customWidth="1"/>
    <col min="7" max="7" width="51.6640625" customWidth="1"/>
    <col min="8" max="8" width="17" customWidth="1"/>
  </cols>
  <sheetData>
    <row r="1" spans="2:9" x14ac:dyDescent="0.2">
      <c r="B1" t="s">
        <v>1</v>
      </c>
      <c r="C1">
        <v>1456</v>
      </c>
      <c r="D1" t="s">
        <v>0</v>
      </c>
      <c r="E1">
        <v>100</v>
      </c>
      <c r="F1" t="s">
        <v>2</v>
      </c>
      <c r="G1">
        <v>15</v>
      </c>
      <c r="H1" t="s">
        <v>7</v>
      </c>
      <c r="I1" s="1">
        <v>63</v>
      </c>
    </row>
    <row r="2" spans="2:9" x14ac:dyDescent="0.2">
      <c r="B2" t="s">
        <v>6</v>
      </c>
      <c r="C2">
        <v>800</v>
      </c>
    </row>
    <row r="4" spans="2:9" x14ac:dyDescent="0.2">
      <c r="B4" t="s">
        <v>3</v>
      </c>
      <c r="C4">
        <f>2*TAN(RADIANS(I1/2))*G1</f>
        <v>18.384023644197956</v>
      </c>
      <c r="D4" t="s">
        <v>4</v>
      </c>
      <c r="E4">
        <f>C4*(C2/C1)</f>
        <v>10.10111189241646</v>
      </c>
    </row>
    <row r="5" spans="2:9" x14ac:dyDescent="0.2">
      <c r="B5" t="s">
        <v>8</v>
      </c>
      <c r="C5">
        <v>1.2626389865520573</v>
      </c>
      <c r="D5" t="s">
        <v>5</v>
      </c>
      <c r="E5">
        <f>E1*E4/1080</f>
        <v>0.93528813818670931</v>
      </c>
    </row>
    <row r="8" spans="2:9" x14ac:dyDescent="0.2">
      <c r="B8" t="s">
        <v>12</v>
      </c>
      <c r="C8" t="s">
        <v>9</v>
      </c>
      <c r="D8" t="s">
        <v>10</v>
      </c>
      <c r="E8" t="s">
        <v>26</v>
      </c>
      <c r="F8" t="s">
        <v>25</v>
      </c>
      <c r="G8" t="s">
        <v>24</v>
      </c>
    </row>
    <row r="9" spans="2:9" x14ac:dyDescent="0.2">
      <c r="B9" t="s">
        <v>13</v>
      </c>
      <c r="C9" t="s">
        <v>11</v>
      </c>
      <c r="D9">
        <v>86.6</v>
      </c>
      <c r="E9">
        <v>2.1813711312012818</v>
      </c>
      <c r="F9">
        <v>1.648147076907635</v>
      </c>
    </row>
    <row r="10" spans="2:9" x14ac:dyDescent="0.2">
      <c r="B10" t="s">
        <v>15</v>
      </c>
      <c r="C10" t="s">
        <v>14</v>
      </c>
      <c r="D10">
        <v>105</v>
      </c>
      <c r="E10">
        <v>6.1088689351931524</v>
      </c>
      <c r="F10">
        <v>2.7150528600858452</v>
      </c>
    </row>
    <row r="11" spans="2:9" x14ac:dyDescent="0.2">
      <c r="B11" t="s">
        <v>17</v>
      </c>
      <c r="C11" t="s">
        <v>16</v>
      </c>
      <c r="D11">
        <v>76</v>
      </c>
      <c r="E11">
        <v>1.4649105497000954</v>
      </c>
      <c r="F11">
        <v>1.7633182542686332</v>
      </c>
    </row>
    <row r="12" spans="2:9" x14ac:dyDescent="0.2">
      <c r="B12" t="s">
        <v>19</v>
      </c>
      <c r="C12" t="s">
        <v>18</v>
      </c>
      <c r="D12">
        <v>90</v>
      </c>
      <c r="E12">
        <v>2.3437499999999996</v>
      </c>
      <c r="F12">
        <v>1.7361111111111107</v>
      </c>
    </row>
    <row r="13" spans="2:9" x14ac:dyDescent="0.2">
      <c r="C13" t="s">
        <v>20</v>
      </c>
      <c r="D13">
        <v>200</v>
      </c>
    </row>
    <row r="14" spans="2:9" x14ac:dyDescent="0.2">
      <c r="C14" t="s">
        <v>21</v>
      </c>
      <c r="D14">
        <v>67</v>
      </c>
    </row>
    <row r="15" spans="2:9" x14ac:dyDescent="0.2">
      <c r="B15" s="2" t="s">
        <v>22</v>
      </c>
      <c r="C15" t="s">
        <v>18</v>
      </c>
      <c r="D15">
        <v>120</v>
      </c>
      <c r="E15">
        <v>4.0594940802395545</v>
      </c>
      <c r="F15">
        <v>3.0070326520293</v>
      </c>
      <c r="G15" t="s">
        <v>23</v>
      </c>
    </row>
    <row r="16" spans="2:9" x14ac:dyDescent="0.2">
      <c r="B16" s="2" t="s">
        <v>28</v>
      </c>
      <c r="C16" t="s">
        <v>27</v>
      </c>
      <c r="D16">
        <v>63</v>
      </c>
      <c r="E16">
        <v>1.2626389865520573</v>
      </c>
      <c r="F16">
        <v>0.93528813818670931</v>
      </c>
      <c r="G16" t="s">
        <v>29</v>
      </c>
    </row>
  </sheetData>
  <hyperlinks>
    <hyperlink ref="B15" r:id="rId1" xr:uid="{010DB3F6-8BB7-EC43-BABE-EF8F2CD40DCE}"/>
    <hyperlink ref="B16" r:id="rId2" display="https://www.alibaba.com/product-detail/Raspberry-Pi-Original-Global-Shutter-Camera_1601587504821.html?spm=a2700.galleryofferlist.normal_offer.d_title.233913a0nygkBo&amp;selectedCarrierCode=SEMI_MANAGED_STANDARD%40%40STANDARD&amp;priceId=952eae8a635a49c7b7a8a99eb8f3f218" xr:uid="{C354AF87-4037-B44E-AA36-4401B16990B2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Smith (Student)</dc:creator>
  <cp:lastModifiedBy>Alex Smith (Student)</cp:lastModifiedBy>
  <dcterms:created xsi:type="dcterms:W3CDTF">2025-12-12T03:36:24Z</dcterms:created>
  <dcterms:modified xsi:type="dcterms:W3CDTF">2025-12-12T10:11:40Z</dcterms:modified>
</cp:coreProperties>
</file>